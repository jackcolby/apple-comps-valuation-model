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8_{A055F835-FC8E-6A4A-B0B7-27D7332B60C1}" xr6:coauthVersionLast="47" xr6:coauthVersionMax="47" xr10:uidLastSave="{00000000-0000-0000-0000-000000000000}"/>
  <bookViews>
    <workbookView xWindow="0" yWindow="740" windowWidth="28400" windowHeight="18380" xr2:uid="{EAB9D2B7-19C2-EC4A-9E7E-B93597BAD12E}"/>
  </bookViews>
  <sheets>
    <sheet name="Sheet1" sheetId="1" r:id="rId1"/>
  </sheets>
  <definedNames>
    <definedName name="_xlnm.Print_Area" localSheetId="0">Sheet1!$B$3:$T$20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1" l="1"/>
  <c r="M5" i="1"/>
</calcChain>
</file>

<file path=xl/sharedStrings.xml><?xml version="1.0" encoding="utf-8"?>
<sst xmlns="http://schemas.openxmlformats.org/spreadsheetml/2006/main" count="65" uniqueCount="61">
  <si>
    <t>Company</t>
  </si>
  <si>
    <t>Apple</t>
  </si>
  <si>
    <t>Microsoft</t>
  </si>
  <si>
    <t>Meta</t>
  </si>
  <si>
    <t>$281.724B</t>
  </si>
  <si>
    <t>Alphabet</t>
  </si>
  <si>
    <t>$200.966B</t>
  </si>
  <si>
    <t>EV/EBITDA</t>
  </si>
  <si>
    <t>Amazon</t>
  </si>
  <si>
    <t xml:space="preserve">EV/Revenue </t>
  </si>
  <si>
    <t>$416.161B</t>
  </si>
  <si>
    <t>$402.836B</t>
  </si>
  <si>
    <t>$716.924B</t>
  </si>
  <si>
    <t xml:space="preserve">              Comparable Companies Analysis</t>
  </si>
  <si>
    <t>7.17x</t>
  </si>
  <si>
    <t>10.43x</t>
  </si>
  <si>
    <t>10.19x</t>
  </si>
  <si>
    <t>11.07x</t>
  </si>
  <si>
    <t>3.79x</t>
  </si>
  <si>
    <t>29.98x</t>
  </si>
  <si>
    <t>17.64x</t>
  </si>
  <si>
    <t>144,748M</t>
  </si>
  <si>
    <t>162,681M</t>
  </si>
  <si>
    <t>150,175M</t>
  </si>
  <si>
    <t>101,892M</t>
  </si>
  <si>
    <t>145,731M</t>
  </si>
  <si>
    <t>29.70x</t>
  </si>
  <si>
    <t>14.13x</t>
  </si>
  <si>
    <t>18.66x</t>
  </si>
  <si>
    <t>8.53x</t>
  </si>
  <si>
    <t>22.02x</t>
  </si>
  <si>
    <t>Apple Valuation</t>
  </si>
  <si>
    <t>Avg. EV/EBITDA</t>
  </si>
  <si>
    <t>Avg. EV/Revenue</t>
  </si>
  <si>
    <t>Implied EV (Revenue Method)</t>
  </si>
  <si>
    <t>Implied EV (EBITDA Method)</t>
  </si>
  <si>
    <t>Average Implied EV</t>
  </si>
  <si>
    <t>3.55T</t>
  </si>
  <si>
    <t>3.19T</t>
  </si>
  <si>
    <t>3.37T</t>
  </si>
  <si>
    <t>Valuation Summary</t>
  </si>
  <si>
    <t>Actual EV</t>
  </si>
  <si>
    <t>Implied EV</t>
  </si>
  <si>
    <t>Difference</t>
  </si>
  <si>
    <t>Conclusion</t>
  </si>
  <si>
    <t>Overvalued</t>
  </si>
  <si>
    <t>2.6T</t>
  </si>
  <si>
    <t>4.3T</t>
  </si>
  <si>
    <t>4.24T</t>
  </si>
  <si>
    <t>1.45T</t>
  </si>
  <si>
    <t>2.83T</t>
  </si>
  <si>
    <t>Peer Average</t>
  </si>
  <si>
    <t>EV ($T)</t>
  </si>
  <si>
    <t>Revenue ($B)</t>
  </si>
  <si>
    <t>EBITDA ($M)</t>
  </si>
  <si>
    <t>Valuation based on Comparable Company Analysis using Microsoft, Alphabet, Meta, and Amazon peer multiples.</t>
  </si>
  <si>
    <t>Revenue $B</t>
  </si>
  <si>
    <t>EBITDA $M</t>
  </si>
  <si>
    <t>Apple was included in the peer-group average. Excluding Apple from the peer set would result in lower average multiples and a more conservative valuation estimate.</t>
  </si>
  <si>
    <t>This analysis values Apple using a comparable company methodology based on Microsoft, Alphabet, Meta, and Amazon. Applying peer EV/Revenue and EV/EBITDA multiples resulted in an implied enterprise value of approximately $3.37 trillion. Compared to Apple's current enterprise value of $4.30 trillion, the analysis suggests Apple is overvalued by approximately 21.7% relative to its peer group.</t>
  </si>
  <si>
    <t>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</si>
</sst>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333333"/>
      <name val="Aptos Narrow (Body)"/>
    </font>
    <font>
      <sz val="20"/>
      <color theme="1"/>
      <name val="Aptos Narrow (Body)"/>
    </font>
    <font>
      <sz val="12"/>
      <color rgb="FF111827"/>
      <name val="Aptos Narrow (Body)"/>
    </font>
    <font>
      <sz val="10"/>
      <color theme="1"/>
      <name val="Aptos Narrow"/>
      <family val="2"/>
      <scheme val="minor"/>
    </font>
    <font>
      <sz val="8"/>
      <color theme="1"/>
      <name val="Aptos Narrow (Body)"/>
    </font>
    <font>
      <sz val="20"/>
      <color theme="0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3" fontId="0" fillId="0" borderId="0" xfId="0" applyNumberFormat="1"/>
    <xf numFmtId="0" fontId="1" fillId="2" borderId="0" xfId="0" applyFont="1" applyFill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4" fillId="0" borderId="2" xfId="0" applyFont="1" applyBorder="1"/>
    <xf numFmtId="0" fontId="0" fillId="0" borderId="2" xfId="0" applyBorder="1"/>
    <xf numFmtId="3" fontId="0" fillId="0" borderId="2" xfId="0" applyNumberFormat="1" applyBorder="1"/>
    <xf numFmtId="0" fontId="0" fillId="0" borderId="3" xfId="0" applyBorder="1"/>
    <xf numFmtId="3" fontId="0" fillId="0" borderId="7" xfId="0" applyNumberFormat="1" applyBorder="1"/>
    <xf numFmtId="0" fontId="0" fillId="3" borderId="9" xfId="0" applyFill="1" applyBorder="1"/>
    <xf numFmtId="0" fontId="0" fillId="0" borderId="10" xfId="0" applyBorder="1"/>
    <xf numFmtId="0" fontId="0" fillId="0" borderId="11" xfId="0" applyBorder="1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3" fontId="0" fillId="0" borderId="5" xfId="0" applyNumberFormat="1" applyBorder="1"/>
    <xf numFmtId="10" fontId="0" fillId="0" borderId="5" xfId="0" applyNumberFormat="1" applyBorder="1"/>
    <xf numFmtId="0" fontId="0" fillId="3" borderId="6" xfId="0" applyFill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7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87ED3DC4-DF09-834A-94B5-F5B3A8CCBE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D264-8611-3D42-BEBE-CA4940A9F714}">
  <sheetPr>
    <pageSetUpPr fitToPage="1"/>
  </sheetPr>
  <dimension ref="B4:T20"/>
  <sheetViews>
    <sheetView tabSelected="1" workbookViewId="0">
      <selection activeCell="C17" sqref="C17"/>
    </sheetView>
  </sheetViews>
  <sheetFormatPr baseColWidth="10" defaultRowHeight="16" x14ac:dyDescent="0.2"/>
  <cols>
    <col min="1" max="1" width="10.83203125" customWidth="1"/>
    <col min="3" max="3" width="13.83203125" customWidth="1"/>
    <col min="5" max="5" width="12" bestFit="1" customWidth="1"/>
    <col min="6" max="6" width="11.1640625" bestFit="1" customWidth="1"/>
    <col min="12" max="12" width="25" bestFit="1" customWidth="1"/>
    <col min="16" max="16" width="10.33203125" bestFit="1" customWidth="1"/>
  </cols>
  <sheetData>
    <row r="4" spans="2:20" ht="27" x14ac:dyDescent="0.35">
      <c r="C4" s="1" t="s">
        <v>13</v>
      </c>
      <c r="L4" s="1" t="s">
        <v>31</v>
      </c>
      <c r="P4" s="1" t="s">
        <v>40</v>
      </c>
    </row>
    <row r="5" spans="2:20" x14ac:dyDescent="0.2">
      <c r="C5" s="3" t="s">
        <v>0</v>
      </c>
      <c r="D5" s="3" t="s">
        <v>52</v>
      </c>
      <c r="E5" s="3" t="s">
        <v>53</v>
      </c>
      <c r="F5" s="3" t="s">
        <v>54</v>
      </c>
      <c r="G5" s="3" t="s">
        <v>9</v>
      </c>
      <c r="H5" s="3" t="s">
        <v>7</v>
      </c>
      <c r="L5" s="16" t="s">
        <v>56</v>
      </c>
      <c r="M5" s="11" t="str">
        <f>E6</f>
        <v>$416.161B</v>
      </c>
      <c r="P5" s="16" t="s">
        <v>41</v>
      </c>
      <c r="Q5" s="11" t="s">
        <v>47</v>
      </c>
    </row>
    <row r="6" spans="2:20" x14ac:dyDescent="0.2">
      <c r="C6" s="16" t="s">
        <v>1</v>
      </c>
      <c r="D6" s="8" t="s">
        <v>47</v>
      </c>
      <c r="E6" s="9" t="s">
        <v>10</v>
      </c>
      <c r="F6" s="10" t="s">
        <v>21</v>
      </c>
      <c r="G6" s="9" t="s">
        <v>15</v>
      </c>
      <c r="H6" s="11" t="s">
        <v>19</v>
      </c>
      <c r="L6" s="17" t="s">
        <v>57</v>
      </c>
      <c r="M6" s="19" t="str">
        <f>F6</f>
        <v>144,748M</v>
      </c>
      <c r="P6" s="17" t="s">
        <v>42</v>
      </c>
      <c r="Q6" s="4" t="s">
        <v>39</v>
      </c>
    </row>
    <row r="7" spans="2:20" x14ac:dyDescent="0.2">
      <c r="C7" s="17" t="s">
        <v>2</v>
      </c>
      <c r="D7" t="s">
        <v>50</v>
      </c>
      <c r="E7" t="s">
        <v>4</v>
      </c>
      <c r="F7" s="2" t="s">
        <v>22</v>
      </c>
      <c r="G7" t="s">
        <v>16</v>
      </c>
      <c r="H7" s="4" t="s">
        <v>20</v>
      </c>
      <c r="L7" s="17" t="s">
        <v>33</v>
      </c>
      <c r="M7" s="4" t="s">
        <v>29</v>
      </c>
      <c r="P7" s="17" t="s">
        <v>43</v>
      </c>
      <c r="Q7" s="20">
        <v>-0.2167</v>
      </c>
    </row>
    <row r="8" spans="2:20" x14ac:dyDescent="0.2">
      <c r="C8" s="17" t="s">
        <v>5</v>
      </c>
      <c r="D8" t="s">
        <v>48</v>
      </c>
      <c r="E8" s="5" t="s">
        <v>11</v>
      </c>
      <c r="F8" s="2" t="s">
        <v>23</v>
      </c>
      <c r="G8" t="s">
        <v>17</v>
      </c>
      <c r="H8" s="4" t="s">
        <v>26</v>
      </c>
      <c r="L8" s="17" t="s">
        <v>32</v>
      </c>
      <c r="M8" s="4" t="s">
        <v>30</v>
      </c>
      <c r="P8" s="21" t="s">
        <v>44</v>
      </c>
      <c r="Q8" s="7" t="s">
        <v>45</v>
      </c>
    </row>
    <row r="9" spans="2:20" x14ac:dyDescent="0.2">
      <c r="C9" s="17" t="s">
        <v>3</v>
      </c>
      <c r="D9" t="s">
        <v>49</v>
      </c>
      <c r="E9" t="s">
        <v>6</v>
      </c>
      <c r="F9" s="2" t="s">
        <v>24</v>
      </c>
      <c r="G9" t="s">
        <v>14</v>
      </c>
      <c r="H9" s="4" t="s">
        <v>27</v>
      </c>
      <c r="L9" s="17"/>
      <c r="M9" s="4"/>
    </row>
    <row r="10" spans="2:20" x14ac:dyDescent="0.2">
      <c r="C10" s="18" t="s">
        <v>8</v>
      </c>
      <c r="D10" s="6" t="s">
        <v>46</v>
      </c>
      <c r="E10" s="6" t="s">
        <v>12</v>
      </c>
      <c r="F10" s="12" t="s">
        <v>25</v>
      </c>
      <c r="G10" s="6" t="s">
        <v>18</v>
      </c>
      <c r="H10" s="7" t="s">
        <v>28</v>
      </c>
      <c r="L10" s="17" t="s">
        <v>34</v>
      </c>
      <c r="M10" s="4" t="s">
        <v>37</v>
      </c>
    </row>
    <row r="11" spans="2:20" ht="27" x14ac:dyDescent="0.35">
      <c r="C11" s="13" t="s">
        <v>51</v>
      </c>
      <c r="D11" s="14"/>
      <c r="E11" s="14"/>
      <c r="F11" s="14"/>
      <c r="G11" s="14" t="s">
        <v>29</v>
      </c>
      <c r="H11" s="15" t="s">
        <v>30</v>
      </c>
      <c r="L11" s="17" t="s">
        <v>35</v>
      </c>
      <c r="M11" s="4" t="s">
        <v>38</v>
      </c>
      <c r="O11" s="26" t="s">
        <v>60</v>
      </c>
      <c r="P11" s="27"/>
      <c r="Q11" s="27"/>
      <c r="R11" s="27"/>
      <c r="S11" s="28"/>
    </row>
    <row r="12" spans="2:20" ht="16" customHeight="1" x14ac:dyDescent="0.2">
      <c r="C12" s="23" t="s">
        <v>55</v>
      </c>
      <c r="D12" s="22"/>
      <c r="E12" s="22"/>
      <c r="F12" s="22"/>
      <c r="G12" s="22"/>
      <c r="H12" s="22"/>
      <c r="I12" s="22"/>
      <c r="J12" s="22"/>
      <c r="L12" s="18" t="s">
        <v>36</v>
      </c>
      <c r="M12" s="7" t="s">
        <v>39</v>
      </c>
      <c r="O12" s="29" t="s">
        <v>59</v>
      </c>
      <c r="P12" s="30"/>
      <c r="Q12" s="30"/>
      <c r="R12" s="30"/>
      <c r="S12" s="31"/>
      <c r="T12" s="25"/>
    </row>
    <row r="13" spans="2:20" x14ac:dyDescent="0.2">
      <c r="C13" s="23" t="s">
        <v>58</v>
      </c>
      <c r="F13" s="2"/>
      <c r="O13" s="29"/>
      <c r="P13" s="30"/>
      <c r="Q13" s="30"/>
      <c r="R13" s="30"/>
      <c r="S13" s="31"/>
      <c r="T13" s="25"/>
    </row>
    <row r="14" spans="2:20" x14ac:dyDescent="0.2">
      <c r="F14" s="2"/>
      <c r="O14" s="29"/>
      <c r="P14" s="30"/>
      <c r="Q14" s="30"/>
      <c r="R14" s="30"/>
      <c r="S14" s="31"/>
      <c r="T14" s="25"/>
    </row>
    <row r="15" spans="2:20" x14ac:dyDescent="0.2">
      <c r="O15" s="29"/>
      <c r="P15" s="30"/>
      <c r="Q15" s="30"/>
      <c r="R15" s="30"/>
      <c r="S15" s="31"/>
      <c r="T15" s="25"/>
    </row>
    <row r="16" spans="2:20" x14ac:dyDescent="0.2">
      <c r="B16" s="24"/>
      <c r="C16" s="24"/>
      <c r="D16" s="24"/>
      <c r="E16" s="24"/>
      <c r="F16" s="24"/>
      <c r="G16" s="24"/>
      <c r="H16" s="24"/>
      <c r="I16" s="24"/>
      <c r="J16" s="24"/>
      <c r="O16" s="29"/>
      <c r="P16" s="30"/>
      <c r="Q16" s="30"/>
      <c r="R16" s="30"/>
      <c r="S16" s="31"/>
      <c r="T16" s="25"/>
    </row>
    <row r="17" spans="2:19" x14ac:dyDescent="0.2">
      <c r="B17" s="24"/>
      <c r="C17" s="24"/>
      <c r="D17" s="24"/>
      <c r="E17" s="24"/>
      <c r="F17" s="24"/>
      <c r="G17" s="24"/>
      <c r="H17" s="24"/>
      <c r="I17" s="24"/>
      <c r="J17" s="24"/>
      <c r="O17" s="29"/>
      <c r="P17" s="30"/>
      <c r="Q17" s="30"/>
      <c r="R17" s="30"/>
      <c r="S17" s="31"/>
    </row>
    <row r="18" spans="2:19" x14ac:dyDescent="0.2">
      <c r="B18" s="24"/>
      <c r="C18" s="24"/>
      <c r="D18" s="24"/>
      <c r="E18" s="24"/>
      <c r="F18" s="24"/>
      <c r="G18" s="24"/>
      <c r="H18" s="24"/>
      <c r="I18" s="24"/>
      <c r="J18" s="24"/>
      <c r="O18" s="29"/>
      <c r="P18" s="30"/>
      <c r="Q18" s="30"/>
      <c r="R18" s="30"/>
      <c r="S18" s="31"/>
    </row>
    <row r="19" spans="2:19" x14ac:dyDescent="0.2">
      <c r="B19" s="24"/>
      <c r="C19" s="24"/>
      <c r="D19" s="24"/>
      <c r="E19" s="24"/>
      <c r="F19" s="24"/>
      <c r="G19" s="24"/>
      <c r="H19" s="24"/>
      <c r="I19" s="24"/>
      <c r="J19" s="24"/>
      <c r="O19" s="32"/>
      <c r="P19" s="33"/>
      <c r="Q19" s="33"/>
      <c r="R19" s="33"/>
      <c r="S19" s="34"/>
    </row>
    <row r="20" spans="2:19" x14ac:dyDescent="0.2">
      <c r="B20" s="24"/>
      <c r="C20" s="24"/>
      <c r="D20" s="24"/>
      <c r="E20" s="24"/>
      <c r="F20" s="24"/>
      <c r="G20" s="24"/>
      <c r="H20" s="24"/>
      <c r="I20" s="24"/>
      <c r="J20" s="24"/>
    </row>
  </sheetData>
  <mergeCells count="2">
    <mergeCell ref="O11:S11"/>
    <mergeCell ref="O12:S19"/>
  </mergeCells>
  <pageMargins left="0.7" right="0.7" top="0.75" bottom="0.75" header="0.3" footer="0.3"/>
  <pageSetup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Colby, Jack Timothy</dc:creator>
  <cp:lastModifiedBy>Colby, Jack Timothy</cp:lastModifiedBy>
  <dcterms:created xsi:type="dcterms:W3CDTF">2026-06-22T14:38:36Z</dcterms:created>
  <dcterms:modified xsi:type="dcterms:W3CDTF">2026-06-30T18:55:29Z</dcterms:modified>
</cp:coreProperties>
</file>